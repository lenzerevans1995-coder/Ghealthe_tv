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Standings" sheetId="1" state="visible" r:id="rId1"/>
    <sheet name="Rules &amp;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0000FF"/>
      <sz val="10"/>
    </font>
    <font>
      <name val="Arial"/>
      <b val="1"/>
      <color rgb="001F3864"/>
      <sz val="14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8" fillId="6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164" fontId="6" fillId="0" borderId="1" pivotButton="0" quotePrefix="0" xfId="0"/>
    <xf numFmtId="0" fontId="5" fillId="4" borderId="1" pivotButton="0" quotePrefix="0" xfId="0"/>
    <xf numFmtId="165" fontId="6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8" customWidth="1" min="3" max="3"/>
    <col width="11" customWidth="1" min="4" max="4"/>
    <col width="8" customWidth="1" min="5" max="5"/>
    <col width="7" customWidth="1" min="6" max="6"/>
    <col width="11" customWidth="1" min="7" max="7"/>
    <col width="8" customWidth="1" min="8" max="8"/>
    <col width="12" customWidth="1" min="9" max="9"/>
    <col width="9" customWidth="1" min="10" max="10"/>
    <col width="8" customWidth="1" min="11" max="11"/>
    <col width="16" customWidth="1" min="13" max="13"/>
    <col width="6" customWidth="1" min="14" max="14"/>
  </cols>
  <sheetData>
    <row r="1">
      <c r="A1" s="1" t="inlineStr">
        <is>
          <t>THE PAPER CHASE — Contest Week Standings</t>
        </is>
      </c>
      <c r="M1" s="2" t="inlineStr">
        <is>
          <t>Points per ticket:</t>
        </is>
      </c>
      <c r="N1" s="3" t="n">
        <v>50</v>
      </c>
    </row>
    <row r="2">
      <c r="A2" s="4" t="inlineStr">
        <is>
          <t>Contest week: Monday 09/07/2026 through Friday 09/11/2026 (tickets reset every Monday)</t>
        </is>
      </c>
    </row>
    <row r="3">
      <c r="A3" s="5" t="inlineStr">
        <is>
          <t>Raffle tickets = 1 per 50 points earned THIS WEEK. Resets every Monday. Draw: Friday 4:00 PM ET.</t>
        </is>
      </c>
    </row>
    <row r="5" ht="18" customHeight="1">
      <c r="B5" s="6" t="inlineStr">
        <is>
          <t>STHHC (this week)</t>
        </is>
      </c>
      <c r="F5" s="6" t="inlineStr">
        <is>
          <t>HOSPITAL INDEMNITY (this week)</t>
        </is>
      </c>
      <c r="I5" s="6" t="inlineStr">
        <is>
          <t>WEEK TOTAL</t>
        </is>
      </c>
    </row>
    <row r="6" ht="30" customHeight="1">
      <c r="A6" s="7" t="inlineStr">
        <is>
          <t>Agent</t>
        </is>
      </c>
      <c r="B6" s="7" t="inlineStr">
        <is>
          <t>Apps</t>
        </is>
      </c>
      <c r="C6" s="7" t="inlineStr">
        <is>
          <t>Zeroed*</t>
        </is>
      </c>
      <c r="D6" s="7" t="inlineStr">
        <is>
          <t>Premium</t>
        </is>
      </c>
      <c r="E6" s="7" t="inlineStr">
        <is>
          <t>Points</t>
        </is>
      </c>
      <c r="F6" s="7" t="inlineStr">
        <is>
          <t>Apps</t>
        </is>
      </c>
      <c r="G6" s="7" t="inlineStr">
        <is>
          <t>Premium</t>
        </is>
      </c>
      <c r="H6" s="7" t="inlineStr">
        <is>
          <t>Points</t>
        </is>
      </c>
      <c r="I6" s="7" t="inlineStr">
        <is>
          <t>Week Points</t>
        </is>
      </c>
      <c r="J6" s="7" t="inlineStr">
        <is>
          <t>Tickets</t>
        </is>
      </c>
      <c r="K6" s="7" t="inlineStr">
        <is>
          <t>Odds</t>
        </is>
      </c>
    </row>
    <row r="7">
      <c r="A7" s="8" t="inlineStr">
        <is>
          <t>Savanna Holloway</t>
        </is>
      </c>
      <c r="B7" s="8" t="n">
        <v>2</v>
      </c>
      <c r="C7" s="8" t="n">
        <v>0</v>
      </c>
      <c r="D7" s="9" t="n">
        <v>131.2</v>
      </c>
      <c r="E7" s="8" t="n">
        <v>131</v>
      </c>
      <c r="F7" s="8" t="n">
        <v>6</v>
      </c>
      <c r="G7" s="9" t="n">
        <v>248.26</v>
      </c>
      <c r="H7" s="8" t="n">
        <v>249</v>
      </c>
      <c r="I7" s="8">
        <f>E7+H7</f>
        <v/>
      </c>
      <c r="J7" s="10">
        <f>FLOOR(I7/$N$1,1)</f>
        <v/>
      </c>
      <c r="K7" s="11">
        <f>IFERROR(J7/$J$40,0)</f>
        <v/>
      </c>
    </row>
    <row r="8">
      <c r="A8" s="8" t="inlineStr">
        <is>
          <t>Sherly Riley</t>
        </is>
      </c>
      <c r="B8" s="8" t="n">
        <v>2</v>
      </c>
      <c r="C8" s="8" t="n">
        <v>0</v>
      </c>
      <c r="D8" s="9" t="n">
        <v>180.31</v>
      </c>
      <c r="E8" s="8" t="n">
        <v>180</v>
      </c>
      <c r="F8" s="8" t="n">
        <v>4</v>
      </c>
      <c r="G8" s="9" t="n">
        <v>181.33</v>
      </c>
      <c r="H8" s="8" t="n">
        <v>168</v>
      </c>
      <c r="I8" s="8">
        <f>E8+H8</f>
        <v/>
      </c>
      <c r="J8" s="10">
        <f>FLOOR(I8/$N$1,1)</f>
        <v/>
      </c>
      <c r="K8" s="11">
        <f>IFERROR(J8/$J$40,0)</f>
        <v/>
      </c>
    </row>
    <row r="9">
      <c r="A9" s="8" t="inlineStr">
        <is>
          <t>Victor Cruz</t>
        </is>
      </c>
      <c r="B9" s="8" t="n">
        <v>2</v>
      </c>
      <c r="C9" s="8" t="n">
        <v>0</v>
      </c>
      <c r="D9" s="9" t="n">
        <v>134.28</v>
      </c>
      <c r="E9" s="8" t="n">
        <v>134</v>
      </c>
      <c r="F9" s="8" t="n">
        <v>4</v>
      </c>
      <c r="G9" s="9" t="n">
        <v>144.29</v>
      </c>
      <c r="H9" s="8" t="n">
        <v>132</v>
      </c>
      <c r="I9" s="8">
        <f>E9+H9</f>
        <v/>
      </c>
      <c r="J9" s="10">
        <f>FLOOR(I9/$N$1,1)</f>
        <v/>
      </c>
      <c r="K9" s="11">
        <f>IFERROR(J9/$J$40,0)</f>
        <v/>
      </c>
    </row>
    <row r="10">
      <c r="A10" s="8" t="inlineStr">
        <is>
          <t>Armando Martinez</t>
        </is>
      </c>
      <c r="B10" s="8" t="n">
        <v>3</v>
      </c>
      <c r="C10" s="8" t="n">
        <v>0</v>
      </c>
      <c r="D10" s="9" t="n">
        <v>215.69</v>
      </c>
      <c r="E10" s="8" t="n">
        <v>215</v>
      </c>
      <c r="F10" s="8" t="n">
        <v>0</v>
      </c>
      <c r="G10" s="9" t="n">
        <v>0</v>
      </c>
      <c r="H10" s="8" t="n">
        <v>0</v>
      </c>
      <c r="I10" s="8">
        <f>E10+H10</f>
        <v/>
      </c>
      <c r="J10" s="10">
        <f>FLOOR(I10/$N$1,1)</f>
        <v/>
      </c>
      <c r="K10" s="11">
        <f>IFERROR(J10/$J$40,0)</f>
        <v/>
      </c>
    </row>
    <row r="11">
      <c r="A11" s="8" t="inlineStr">
        <is>
          <t>Sumesh Chakkalakkal</t>
        </is>
      </c>
      <c r="B11" s="8" t="n">
        <v>2</v>
      </c>
      <c r="C11" s="8" t="n">
        <v>0</v>
      </c>
      <c r="D11" s="9" t="n">
        <v>127.65</v>
      </c>
      <c r="E11" s="8" t="n">
        <v>128</v>
      </c>
      <c r="F11" s="8" t="n">
        <v>1</v>
      </c>
      <c r="G11" s="9" t="n">
        <v>46.99</v>
      </c>
      <c r="H11" s="8" t="n">
        <v>47</v>
      </c>
      <c r="I11" s="8">
        <f>E11+H11</f>
        <v/>
      </c>
      <c r="J11" s="10">
        <f>FLOOR(I11/$N$1,1)</f>
        <v/>
      </c>
      <c r="K11" s="11">
        <f>IFERROR(J11/$J$40,0)</f>
        <v/>
      </c>
    </row>
    <row r="12">
      <c r="A12" s="8" t="inlineStr">
        <is>
          <t>Andre Banfield</t>
        </is>
      </c>
      <c r="B12" s="8" t="n">
        <v>1</v>
      </c>
      <c r="C12" s="8" t="n">
        <v>0</v>
      </c>
      <c r="D12" s="9" t="n">
        <v>130.25</v>
      </c>
      <c r="E12" s="8" t="n">
        <v>130</v>
      </c>
      <c r="F12" s="8" t="n">
        <v>1</v>
      </c>
      <c r="G12" s="9" t="n">
        <v>32.96</v>
      </c>
      <c r="H12" s="8" t="n">
        <v>33</v>
      </c>
      <c r="I12" s="8">
        <f>E12+H12</f>
        <v/>
      </c>
      <c r="J12" s="10">
        <f>FLOOR(I12/$N$1,1)</f>
        <v/>
      </c>
      <c r="K12" s="11">
        <f>IFERROR(J12/$J$40,0)</f>
        <v/>
      </c>
    </row>
    <row r="13">
      <c r="A13" s="8" t="inlineStr">
        <is>
          <t>Tianna Thompson</t>
        </is>
      </c>
      <c r="B13" s="8" t="n">
        <v>1</v>
      </c>
      <c r="C13" s="8" t="n">
        <v>0</v>
      </c>
      <c r="D13" s="9" t="n">
        <v>150.51</v>
      </c>
      <c r="E13" s="8" t="n">
        <v>151</v>
      </c>
      <c r="F13" s="8" t="n">
        <v>0</v>
      </c>
      <c r="G13" s="9" t="n">
        <v>0</v>
      </c>
      <c r="H13" s="8" t="n">
        <v>0</v>
      </c>
      <c r="I13" s="8">
        <f>E13+H13</f>
        <v/>
      </c>
      <c r="J13" s="10">
        <f>FLOOR(I13/$N$1,1)</f>
        <v/>
      </c>
      <c r="K13" s="11">
        <f>IFERROR(J13/$J$40,0)</f>
        <v/>
      </c>
    </row>
    <row r="14">
      <c r="A14" s="8" t="inlineStr">
        <is>
          <t>George Corbin</t>
        </is>
      </c>
      <c r="B14" s="8" t="n">
        <v>0</v>
      </c>
      <c r="C14" s="8" t="n">
        <v>0</v>
      </c>
      <c r="D14" s="9" t="n">
        <v>0</v>
      </c>
      <c r="E14" s="8" t="n">
        <v>0</v>
      </c>
      <c r="F14" s="8" t="n">
        <v>4</v>
      </c>
      <c r="G14" s="9" t="n">
        <v>145.68</v>
      </c>
      <c r="H14" s="8" t="n">
        <v>133</v>
      </c>
      <c r="I14" s="8">
        <f>E14+H14</f>
        <v/>
      </c>
      <c r="J14" s="10">
        <f>FLOOR(I14/$N$1,1)</f>
        <v/>
      </c>
      <c r="K14" s="11">
        <f>IFERROR(J14/$J$40,0)</f>
        <v/>
      </c>
    </row>
    <row r="15">
      <c r="A15" s="8" t="inlineStr">
        <is>
          <t>Trinaka Edmond</t>
        </is>
      </c>
      <c r="B15" s="8" t="n">
        <v>1</v>
      </c>
      <c r="C15" s="8" t="n">
        <v>0</v>
      </c>
      <c r="D15" s="9" t="n">
        <v>94.84</v>
      </c>
      <c r="E15" s="8" t="n">
        <v>95</v>
      </c>
      <c r="F15" s="8" t="n">
        <v>1</v>
      </c>
      <c r="G15" s="9" t="n">
        <v>32.54</v>
      </c>
      <c r="H15" s="8" t="n">
        <v>33</v>
      </c>
      <c r="I15" s="8">
        <f>E15+H15</f>
        <v/>
      </c>
      <c r="J15" s="10">
        <f>FLOOR(I15/$N$1,1)</f>
        <v/>
      </c>
      <c r="K15" s="11">
        <f>IFERROR(J15/$J$40,0)</f>
        <v/>
      </c>
    </row>
    <row r="16">
      <c r="A16" s="8" t="inlineStr">
        <is>
          <t>Damien Goode</t>
        </is>
      </c>
      <c r="B16" s="8" t="n">
        <v>0</v>
      </c>
      <c r="C16" s="8" t="n">
        <v>0</v>
      </c>
      <c r="D16" s="9" t="n">
        <v>0</v>
      </c>
      <c r="E16" s="8" t="n">
        <v>0</v>
      </c>
      <c r="F16" s="8" t="n">
        <v>4</v>
      </c>
      <c r="G16" s="9" t="n">
        <v>125.18</v>
      </c>
      <c r="H16" s="8" t="n">
        <v>114</v>
      </c>
      <c r="I16" s="8">
        <f>E16+H16</f>
        <v/>
      </c>
      <c r="J16" s="10">
        <f>FLOOR(I16/$N$1,1)</f>
        <v/>
      </c>
      <c r="K16" s="11">
        <f>IFERROR(J16/$J$40,0)</f>
        <v/>
      </c>
    </row>
    <row r="17">
      <c r="A17" s="8" t="inlineStr">
        <is>
          <t>John Gregory</t>
        </is>
      </c>
      <c r="B17" s="8" t="n">
        <v>0</v>
      </c>
      <c r="C17" s="8" t="n">
        <v>0</v>
      </c>
      <c r="D17" s="9" t="n">
        <v>0</v>
      </c>
      <c r="E17" s="8" t="n">
        <v>0</v>
      </c>
      <c r="F17" s="8" t="n">
        <v>2</v>
      </c>
      <c r="G17" s="9" t="n">
        <v>90.73999999999999</v>
      </c>
      <c r="H17" s="8" t="n">
        <v>91</v>
      </c>
      <c r="I17" s="8">
        <f>E17+H17</f>
        <v/>
      </c>
      <c r="J17" s="10">
        <f>FLOOR(I17/$N$1,1)</f>
        <v/>
      </c>
      <c r="K17" s="11">
        <f>IFERROR(J17/$J$40,0)</f>
        <v/>
      </c>
    </row>
    <row r="18">
      <c r="A18" s="8" t="inlineStr">
        <is>
          <t>Juana Bustos-Roblero</t>
        </is>
      </c>
      <c r="B18" s="8" t="n">
        <v>1</v>
      </c>
      <c r="C18" s="8" t="n">
        <v>0</v>
      </c>
      <c r="D18" s="9" t="n">
        <v>56.12</v>
      </c>
      <c r="E18" s="8" t="n">
        <v>56</v>
      </c>
      <c r="F18" s="8" t="n">
        <v>1</v>
      </c>
      <c r="G18" s="9" t="n">
        <v>32.65</v>
      </c>
      <c r="H18" s="8" t="n">
        <v>33</v>
      </c>
      <c r="I18" s="8">
        <f>E18+H18</f>
        <v/>
      </c>
      <c r="J18" s="10">
        <f>FLOOR(I18/$N$1,1)</f>
        <v/>
      </c>
      <c r="K18" s="11">
        <f>IFERROR(J18/$J$40,0)</f>
        <v/>
      </c>
    </row>
    <row r="19">
      <c r="A19" s="8" t="inlineStr">
        <is>
          <t>Jesenia Morell</t>
        </is>
      </c>
      <c r="B19" s="8" t="n">
        <v>1</v>
      </c>
      <c r="C19" s="8" t="n">
        <v>0</v>
      </c>
      <c r="D19" s="9" t="n">
        <v>75.20999999999999</v>
      </c>
      <c r="E19" s="8" t="n">
        <v>75</v>
      </c>
      <c r="F19" s="8" t="n">
        <v>0</v>
      </c>
      <c r="G19" s="9" t="n">
        <v>0</v>
      </c>
      <c r="H19" s="8" t="n">
        <v>0</v>
      </c>
      <c r="I19" s="8">
        <f>E19+H19</f>
        <v/>
      </c>
      <c r="J19" s="10">
        <f>FLOOR(I19/$N$1,1)</f>
        <v/>
      </c>
      <c r="K19" s="11">
        <f>IFERROR(J19/$J$40,0)</f>
        <v/>
      </c>
    </row>
    <row r="20">
      <c r="A20" s="8" t="inlineStr">
        <is>
          <t>Timothy Jackson</t>
        </is>
      </c>
      <c r="B20" s="8" t="n">
        <v>0</v>
      </c>
      <c r="C20" s="8" t="n">
        <v>0</v>
      </c>
      <c r="D20" s="9" t="n">
        <v>0</v>
      </c>
      <c r="E20" s="8" t="n">
        <v>0</v>
      </c>
      <c r="F20" s="8" t="n">
        <v>1</v>
      </c>
      <c r="G20" s="9" t="n">
        <v>64.51000000000001</v>
      </c>
      <c r="H20" s="8" t="n">
        <v>65</v>
      </c>
      <c r="I20" s="8">
        <f>E20+H20</f>
        <v/>
      </c>
      <c r="J20" s="10">
        <f>FLOOR(I20/$N$1,1)</f>
        <v/>
      </c>
      <c r="K20" s="11">
        <f>IFERROR(J20/$J$40,0)</f>
        <v/>
      </c>
    </row>
    <row r="21">
      <c r="A21" s="8" t="inlineStr">
        <is>
          <t>Shirley Davis</t>
        </is>
      </c>
      <c r="B21" s="8" t="n">
        <v>0</v>
      </c>
      <c r="C21" s="8" t="n">
        <v>0</v>
      </c>
      <c r="D21" s="9" t="n">
        <v>0</v>
      </c>
      <c r="E21" s="8" t="n">
        <v>0</v>
      </c>
      <c r="F21" s="8" t="n">
        <v>1</v>
      </c>
      <c r="G21" s="9" t="n">
        <v>62.6</v>
      </c>
      <c r="H21" s="8" t="n">
        <v>63</v>
      </c>
      <c r="I21" s="8">
        <f>E21+H21</f>
        <v/>
      </c>
      <c r="J21" s="10">
        <f>FLOOR(I21/$N$1,1)</f>
        <v/>
      </c>
      <c r="K21" s="11">
        <f>IFERROR(J21/$J$40,0)</f>
        <v/>
      </c>
    </row>
    <row r="22">
      <c r="A22" s="8" t="inlineStr">
        <is>
          <t>Irelys Padierna</t>
        </is>
      </c>
      <c r="B22" s="8" t="n">
        <v>2</v>
      </c>
      <c r="C22" s="8" t="n">
        <v>1</v>
      </c>
      <c r="D22" s="9" t="n">
        <v>109.97</v>
      </c>
      <c r="E22" s="8" t="n">
        <v>58</v>
      </c>
      <c r="F22" s="8" t="n">
        <v>0</v>
      </c>
      <c r="G22" s="9" t="n">
        <v>0</v>
      </c>
      <c r="H22" s="8" t="n">
        <v>0</v>
      </c>
      <c r="I22" s="8">
        <f>E22+H22</f>
        <v/>
      </c>
      <c r="J22" s="10">
        <f>FLOOR(I22/$N$1,1)</f>
        <v/>
      </c>
      <c r="K22" s="11">
        <f>IFERROR(J22/$J$40,0)</f>
        <v/>
      </c>
    </row>
    <row r="23">
      <c r="A23" s="8" t="inlineStr">
        <is>
          <t>Jalen McClendon</t>
        </is>
      </c>
      <c r="B23" s="8" t="n">
        <v>1</v>
      </c>
      <c r="C23" s="8" t="n">
        <v>0</v>
      </c>
      <c r="D23" s="9" t="n">
        <v>53.35</v>
      </c>
      <c r="E23" s="8" t="n">
        <v>53</v>
      </c>
      <c r="F23" s="8" t="n">
        <v>0</v>
      </c>
      <c r="G23" s="9" t="n">
        <v>0</v>
      </c>
      <c r="H23" s="8" t="n">
        <v>0</v>
      </c>
      <c r="I23" s="8">
        <f>E23+H23</f>
        <v/>
      </c>
      <c r="J23" s="10">
        <f>FLOOR(I23/$N$1,1)</f>
        <v/>
      </c>
      <c r="K23" s="11">
        <f>IFERROR(J23/$J$40,0)</f>
        <v/>
      </c>
    </row>
    <row r="24">
      <c r="A24" s="8" t="inlineStr">
        <is>
          <t>Nifda Colon</t>
        </is>
      </c>
      <c r="B24" s="8" t="n">
        <v>1</v>
      </c>
      <c r="C24" s="8" t="n">
        <v>0</v>
      </c>
      <c r="D24" s="9" t="n">
        <v>28.97</v>
      </c>
      <c r="E24" s="8" t="n">
        <v>14</v>
      </c>
      <c r="F24" s="8" t="n">
        <v>1</v>
      </c>
      <c r="G24" s="9" t="n">
        <v>35.33</v>
      </c>
      <c r="H24" s="8" t="n">
        <v>35</v>
      </c>
      <c r="I24" s="8">
        <f>E24+H24</f>
        <v/>
      </c>
      <c r="J24" s="10">
        <f>FLOOR(I24/$N$1,1)</f>
        <v/>
      </c>
      <c r="K24" s="11">
        <f>IFERROR(J24/$J$40,0)</f>
        <v/>
      </c>
    </row>
    <row r="25">
      <c r="A25" s="8" t="inlineStr">
        <is>
          <t>Gwendolyn Ingram</t>
        </is>
      </c>
      <c r="B25" s="8" t="n">
        <v>0</v>
      </c>
      <c r="C25" s="8" t="n">
        <v>0</v>
      </c>
      <c r="D25" s="9" t="n">
        <v>0</v>
      </c>
      <c r="E25" s="8" t="n">
        <v>0</v>
      </c>
      <c r="F25" s="8" t="n">
        <v>1</v>
      </c>
      <c r="G25" s="9" t="n">
        <v>33.03</v>
      </c>
      <c r="H25" s="8" t="n">
        <v>33</v>
      </c>
      <c r="I25" s="8">
        <f>E25+H25</f>
        <v/>
      </c>
      <c r="J25" s="10">
        <f>FLOOR(I25/$N$1,1)</f>
        <v/>
      </c>
      <c r="K25" s="11">
        <f>IFERROR(J25/$J$40,0)</f>
        <v/>
      </c>
    </row>
    <row r="26">
      <c r="A26" s="8" t="inlineStr">
        <is>
          <t>Alexi Lebrun</t>
        </is>
      </c>
      <c r="B26" s="8" t="n">
        <v>0</v>
      </c>
      <c r="C26" s="8" t="n">
        <v>0</v>
      </c>
      <c r="D26" s="9" t="n">
        <v>0</v>
      </c>
      <c r="E26" s="8" t="n">
        <v>0</v>
      </c>
      <c r="F26" s="8" t="n">
        <v>1</v>
      </c>
      <c r="G26" s="9" t="n">
        <v>30.52</v>
      </c>
      <c r="H26" s="8" t="n">
        <v>31</v>
      </c>
      <c r="I26" s="8">
        <f>E26+H26</f>
        <v/>
      </c>
      <c r="J26" s="10">
        <f>FLOOR(I26/$N$1,1)</f>
        <v/>
      </c>
      <c r="K26" s="11">
        <f>IFERROR(J26/$J$40,0)</f>
        <v/>
      </c>
    </row>
    <row r="27">
      <c r="A27" s="8" t="inlineStr">
        <is>
          <t>Marcos Manzueta</t>
        </is>
      </c>
      <c r="B27" s="8" t="n">
        <v>0</v>
      </c>
      <c r="C27" s="8" t="n">
        <v>0</v>
      </c>
      <c r="D27" s="9" t="n">
        <v>0</v>
      </c>
      <c r="E27" s="8" t="n">
        <v>0</v>
      </c>
      <c r="F27" s="8" t="n">
        <v>1</v>
      </c>
      <c r="G27" s="9" t="n">
        <v>27.91</v>
      </c>
      <c r="H27" s="8" t="n">
        <v>14</v>
      </c>
      <c r="I27" s="8">
        <f>E27+H27</f>
        <v/>
      </c>
      <c r="J27" s="10">
        <f>FLOOR(I27/$N$1,1)</f>
        <v/>
      </c>
      <c r="K27" s="11">
        <f>IFERROR(J27/$J$40,0)</f>
        <v/>
      </c>
    </row>
    <row r="28">
      <c r="A28" s="8" t="inlineStr">
        <is>
          <t>Sumit Lal</t>
        </is>
      </c>
      <c r="B28" s="8" t="n">
        <v>0</v>
      </c>
      <c r="C28" s="8" t="n">
        <v>0</v>
      </c>
      <c r="D28" s="9" t="n">
        <v>0</v>
      </c>
      <c r="E28" s="8" t="n">
        <v>0</v>
      </c>
      <c r="F28" s="8" t="n">
        <v>1</v>
      </c>
      <c r="G28" s="9" t="n">
        <v>26.47</v>
      </c>
      <c r="H28" s="8" t="n">
        <v>13</v>
      </c>
      <c r="I28" s="8">
        <f>E28+H28</f>
        <v/>
      </c>
      <c r="J28" s="10">
        <f>FLOOR(I28/$N$1,1)</f>
        <v/>
      </c>
      <c r="K28" s="11">
        <f>IFERROR(J28/$J$40,0)</f>
        <v/>
      </c>
    </row>
    <row r="29">
      <c r="A29" s="8" t="inlineStr">
        <is>
          <t>Adam Menendez</t>
        </is>
      </c>
      <c r="B29" s="8" t="n">
        <v>0</v>
      </c>
      <c r="C29" s="8" t="n">
        <v>0</v>
      </c>
      <c r="D29" s="9" t="n">
        <v>0</v>
      </c>
      <c r="E29" s="8" t="n">
        <v>0</v>
      </c>
      <c r="F29" s="8" t="n">
        <v>0</v>
      </c>
      <c r="G29" s="9" t="n">
        <v>0</v>
      </c>
      <c r="H29" s="8" t="n">
        <v>0</v>
      </c>
      <c r="I29" s="8">
        <f>E29+H29</f>
        <v/>
      </c>
      <c r="J29" s="10">
        <f>FLOOR(I29/$N$1,1)</f>
        <v/>
      </c>
      <c r="K29" s="11">
        <f>IFERROR(J29/$J$40,0)</f>
        <v/>
      </c>
    </row>
    <row r="30">
      <c r="A30" s="8" t="inlineStr">
        <is>
          <t>Andre Cintron</t>
        </is>
      </c>
      <c r="B30" s="8" t="n">
        <v>0</v>
      </c>
      <c r="C30" s="8" t="n">
        <v>0</v>
      </c>
      <c r="D30" s="9" t="n">
        <v>0</v>
      </c>
      <c r="E30" s="8" t="n">
        <v>0</v>
      </c>
      <c r="F30" s="8" t="n">
        <v>0</v>
      </c>
      <c r="G30" s="9" t="n">
        <v>0</v>
      </c>
      <c r="H30" s="8" t="n">
        <v>0</v>
      </c>
      <c r="I30" s="8">
        <f>E30+H30</f>
        <v/>
      </c>
      <c r="J30" s="10">
        <f>FLOOR(I30/$N$1,1)</f>
        <v/>
      </c>
      <c r="K30" s="11">
        <f>IFERROR(J30/$J$40,0)</f>
        <v/>
      </c>
    </row>
    <row r="31">
      <c r="A31" s="8" t="inlineStr">
        <is>
          <t>ChenY'ere Franklin</t>
        </is>
      </c>
      <c r="B31" s="8" t="n">
        <v>0</v>
      </c>
      <c r="C31" s="8" t="n">
        <v>0</v>
      </c>
      <c r="D31" s="9" t="n">
        <v>0</v>
      </c>
      <c r="E31" s="8" t="n">
        <v>0</v>
      </c>
      <c r="F31" s="8" t="n">
        <v>0</v>
      </c>
      <c r="G31" s="9" t="n">
        <v>0</v>
      </c>
      <c r="H31" s="8" t="n">
        <v>0</v>
      </c>
      <c r="I31" s="8">
        <f>E31+H31</f>
        <v/>
      </c>
      <c r="J31" s="10">
        <f>FLOOR(I31/$N$1,1)</f>
        <v/>
      </c>
      <c r="K31" s="11">
        <f>IFERROR(J31/$J$40,0)</f>
        <v/>
      </c>
    </row>
    <row r="32">
      <c r="A32" s="8" t="inlineStr">
        <is>
          <t>Cortney Sanders</t>
        </is>
      </c>
      <c r="B32" s="8" t="n">
        <v>0</v>
      </c>
      <c r="C32" s="8" t="n">
        <v>0</v>
      </c>
      <c r="D32" s="9" t="n">
        <v>0</v>
      </c>
      <c r="E32" s="8" t="n">
        <v>0</v>
      </c>
      <c r="F32" s="8" t="n">
        <v>0</v>
      </c>
      <c r="G32" s="9" t="n">
        <v>0</v>
      </c>
      <c r="H32" s="8" t="n">
        <v>0</v>
      </c>
      <c r="I32" s="8">
        <f>E32+H32</f>
        <v/>
      </c>
      <c r="J32" s="10">
        <f>FLOOR(I32/$N$1,1)</f>
        <v/>
      </c>
      <c r="K32" s="11">
        <f>IFERROR(J32/$J$40,0)</f>
        <v/>
      </c>
    </row>
    <row r="33">
      <c r="A33" s="8" t="inlineStr">
        <is>
          <t>Kameron Smith</t>
        </is>
      </c>
      <c r="B33" s="8" t="n">
        <v>0</v>
      </c>
      <c r="C33" s="8" t="n">
        <v>0</v>
      </c>
      <c r="D33" s="9" t="n">
        <v>0</v>
      </c>
      <c r="E33" s="8" t="n">
        <v>0</v>
      </c>
      <c r="F33" s="8" t="n">
        <v>0</v>
      </c>
      <c r="G33" s="9" t="n">
        <v>0</v>
      </c>
      <c r="H33" s="8" t="n">
        <v>0</v>
      </c>
      <c r="I33" s="8">
        <f>E33+H33</f>
        <v/>
      </c>
      <c r="J33" s="10">
        <f>FLOOR(I33/$N$1,1)</f>
        <v/>
      </c>
      <c r="K33" s="11">
        <f>IFERROR(J33/$J$40,0)</f>
        <v/>
      </c>
    </row>
    <row r="34">
      <c r="A34" s="8" t="inlineStr">
        <is>
          <t>Manar Ettayem</t>
        </is>
      </c>
      <c r="B34" s="8" t="n">
        <v>0</v>
      </c>
      <c r="C34" s="8" t="n">
        <v>0</v>
      </c>
      <c r="D34" s="9" t="n">
        <v>0</v>
      </c>
      <c r="E34" s="8" t="n">
        <v>0</v>
      </c>
      <c r="F34" s="8" t="n">
        <v>0</v>
      </c>
      <c r="G34" s="9" t="n">
        <v>0</v>
      </c>
      <c r="H34" s="8" t="n">
        <v>0</v>
      </c>
      <c r="I34" s="8">
        <f>E34+H34</f>
        <v/>
      </c>
      <c r="J34" s="10">
        <f>FLOOR(I34/$N$1,1)</f>
        <v/>
      </c>
      <c r="K34" s="11">
        <f>IFERROR(J34/$J$40,0)</f>
        <v/>
      </c>
    </row>
    <row r="35">
      <c r="A35" s="8" t="inlineStr">
        <is>
          <t>Marilyn Johnson</t>
        </is>
      </c>
      <c r="B35" s="8" t="n">
        <v>0</v>
      </c>
      <c r="C35" s="8" t="n">
        <v>0</v>
      </c>
      <c r="D35" s="9" t="n">
        <v>0</v>
      </c>
      <c r="E35" s="8" t="n">
        <v>0</v>
      </c>
      <c r="F35" s="8" t="n">
        <v>0</v>
      </c>
      <c r="G35" s="9" t="n">
        <v>0</v>
      </c>
      <c r="H35" s="8" t="n">
        <v>0</v>
      </c>
      <c r="I35" s="8">
        <f>E35+H35</f>
        <v/>
      </c>
      <c r="J35" s="10">
        <f>FLOOR(I35/$N$1,1)</f>
        <v/>
      </c>
      <c r="K35" s="11">
        <f>IFERROR(J35/$J$40,0)</f>
        <v/>
      </c>
    </row>
    <row r="36">
      <c r="A36" s="8" t="inlineStr">
        <is>
          <t>Mariyeisi Umpierre</t>
        </is>
      </c>
      <c r="B36" s="8" t="n">
        <v>0</v>
      </c>
      <c r="C36" s="8" t="n">
        <v>0</v>
      </c>
      <c r="D36" s="9" t="n">
        <v>0</v>
      </c>
      <c r="E36" s="8" t="n">
        <v>0</v>
      </c>
      <c r="F36" s="8" t="n">
        <v>0</v>
      </c>
      <c r="G36" s="9" t="n">
        <v>0</v>
      </c>
      <c r="H36" s="8" t="n">
        <v>0</v>
      </c>
      <c r="I36" s="8">
        <f>E36+H36</f>
        <v/>
      </c>
      <c r="J36" s="10">
        <f>FLOOR(I36/$N$1,1)</f>
        <v/>
      </c>
      <c r="K36" s="11">
        <f>IFERROR(J36/$J$40,0)</f>
        <v/>
      </c>
    </row>
    <row r="37">
      <c r="A37" s="8" t="inlineStr">
        <is>
          <t>Rosalva Diaz</t>
        </is>
      </c>
      <c r="B37" s="8" t="n">
        <v>0</v>
      </c>
      <c r="C37" s="8" t="n">
        <v>0</v>
      </c>
      <c r="D37" s="9" t="n">
        <v>0</v>
      </c>
      <c r="E37" s="8" t="n">
        <v>0</v>
      </c>
      <c r="F37" s="8" t="n">
        <v>0</v>
      </c>
      <c r="G37" s="9" t="n">
        <v>0</v>
      </c>
      <c r="H37" s="8" t="n">
        <v>0</v>
      </c>
      <c r="I37" s="8">
        <f>E37+H37</f>
        <v/>
      </c>
      <c r="J37" s="10">
        <f>FLOOR(I37/$N$1,1)</f>
        <v/>
      </c>
      <c r="K37" s="11">
        <f>IFERROR(J37/$J$40,0)</f>
        <v/>
      </c>
    </row>
    <row r="38">
      <c r="A38" s="8" t="inlineStr">
        <is>
          <t>Shani Fareed</t>
        </is>
      </c>
      <c r="B38" s="8" t="n">
        <v>0</v>
      </c>
      <c r="C38" s="8" t="n">
        <v>0</v>
      </c>
      <c r="D38" s="9" t="n">
        <v>0</v>
      </c>
      <c r="E38" s="8" t="n">
        <v>0</v>
      </c>
      <c r="F38" s="8" t="n">
        <v>0</v>
      </c>
      <c r="G38" s="9" t="n">
        <v>0</v>
      </c>
      <c r="H38" s="8" t="n">
        <v>0</v>
      </c>
      <c r="I38" s="8">
        <f>E38+H38</f>
        <v/>
      </c>
      <c r="J38" s="10">
        <f>FLOOR(I38/$N$1,1)</f>
        <v/>
      </c>
      <c r="K38" s="11">
        <f>IFERROR(J38/$J$40,0)</f>
        <v/>
      </c>
    </row>
    <row r="39">
      <c r="A39" s="8" t="inlineStr">
        <is>
          <t>Sophia Asencio</t>
        </is>
      </c>
      <c r="B39" s="8" t="n">
        <v>0</v>
      </c>
      <c r="C39" s="8" t="n">
        <v>0</v>
      </c>
      <c r="D39" s="9" t="n">
        <v>0</v>
      </c>
      <c r="E39" s="8" t="n">
        <v>0</v>
      </c>
      <c r="F39" s="8" t="n">
        <v>0</v>
      </c>
      <c r="G39" s="9" t="n">
        <v>0</v>
      </c>
      <c r="H39" s="8" t="n">
        <v>0</v>
      </c>
      <c r="I39" s="8">
        <f>E39+H39</f>
        <v/>
      </c>
      <c r="J39" s="10">
        <f>FLOOR(I39/$N$1,1)</f>
        <v/>
      </c>
      <c r="K39" s="11">
        <f>IFERROR(J39/$J$40,0)</f>
        <v/>
      </c>
    </row>
    <row r="40">
      <c r="A40" s="12" t="inlineStr">
        <is>
          <t>FLOOR TOTAL</t>
        </is>
      </c>
      <c r="B40" s="12">
        <f>SUM(B7:B39)</f>
        <v/>
      </c>
      <c r="C40" s="12">
        <f>SUM(C7:C39)</f>
        <v/>
      </c>
      <c r="D40" s="13">
        <f>SUM(D7:D39)</f>
        <v/>
      </c>
      <c r="E40" s="12">
        <f>SUM(E7:E39)</f>
        <v/>
      </c>
      <c r="F40" s="12">
        <f>SUM(F7:F39)</f>
        <v/>
      </c>
      <c r="G40" s="13">
        <f>SUM(G7:G39)</f>
        <v/>
      </c>
      <c r="H40" s="12">
        <f>SUM(H7:H39)</f>
        <v/>
      </c>
      <c r="I40" s="12">
        <f>SUM(I7:I39)</f>
        <v/>
      </c>
      <c r="J40" s="12">
        <f>SUM(J7:J39)</f>
        <v/>
      </c>
      <c r="K40" s="14">
        <f>IFERROR(SUM(K7:K39),0)</f>
        <v/>
      </c>
    </row>
    <row r="42">
      <c r="A42" s="15" t="inlineStr">
        <is>
          <t>*Zeroed = STHHC written on the same call as a Core. Scores 0 points and no credit toward First to a Grand. The app and its premium still count in the Apps/Premium columns.</t>
        </is>
      </c>
    </row>
    <row r="43">
      <c r="A43" s="15" t="inlineStr">
        <is>
          <t>Points columns (E, H) are per-policy sums computed from Onyx premiums — a policy at or above its bar scores round(premium), below the bar scores round(premium/2) — so they cannot be re-derived from the Premium column alone.</t>
        </is>
      </c>
    </row>
  </sheetData>
  <mergeCells count="3">
    <mergeCell ref="I5:K5"/>
    <mergeCell ref="B5:E5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108" customWidth="1" min="2" max="2"/>
  </cols>
  <sheetData>
    <row r="1">
      <c r="A1" s="16" t="inlineStr">
        <is>
          <t>How these numbers are built</t>
        </is>
      </c>
    </row>
    <row r="3">
      <c r="A3" s="17" t="inlineStr">
        <is>
          <t>Scope</t>
        </is>
      </c>
    </row>
    <row r="4">
      <c r="B4" s="18" t="inlineStr">
        <is>
          <t>Contest week: policies submitted Monday 2026-09-07 00:00 ET onward. This is the window the raffle uses.</t>
        </is>
      </c>
    </row>
    <row r="5">
      <c r="B5" s="18" t="inlineStr">
        <is>
          <t>The Paper Chase board also shows a September month-to-date total. That is a different, larger number;</t>
        </is>
      </c>
    </row>
    <row r="6">
      <c r="B6" s="18" t="inlineStr">
        <is>
          <t>it drives the monthly races, not the raffle. This workbook is the WEEK only, as requested.</t>
        </is>
      </c>
    </row>
    <row r="8">
      <c r="A8" s="17" t="inlineStr">
        <is>
          <t>Scoring</t>
        </is>
      </c>
    </row>
    <row r="9">
      <c r="B9" s="18" t="inlineStr">
        <is>
          <t>STHHC: premium &gt;= $50 scores round(premium) points. Below $50 scores round(premium / 2).</t>
        </is>
      </c>
    </row>
    <row r="10">
      <c r="B10" s="18" t="inlineStr">
        <is>
          <t>Hospital Indemnity: premium &gt;= $30 scores round(premium) points. Below $30 scores round(premium / 2).</t>
        </is>
      </c>
    </row>
    <row r="11">
      <c r="B11" s="18" t="inlineStr">
        <is>
          <t>Rounding is half-up.</t>
        </is>
      </c>
    </row>
    <row r="12">
      <c r="B12" s="18" t="inlineStr">
        <is>
          <t>An STHHC written on the same call as a Core scores ZERO, and earns no credit toward First to a Grand.</t>
        </is>
      </c>
    </row>
    <row r="13">
      <c r="B13" s="18" t="inlineStr">
        <is>
          <t>HRA, LifeShield, Signify, dental, vision, accident and Core plans earn no Paper Chase points.</t>
        </is>
      </c>
    </row>
    <row r="15">
      <c r="A15" s="17" t="inlineStr">
        <is>
          <t>Raffle</t>
        </is>
      </c>
    </row>
    <row r="16">
      <c r="B16" s="18" t="inlineStr">
        <is>
          <t>Tickets = FLOOR(week points / 50). Ticket count resets every Monday.</t>
        </is>
      </c>
    </row>
    <row r="17">
      <c r="B17" s="18" t="inlineStr">
        <is>
          <t>Draw is Friday at 4:00 PM ET off the standings frozen at 3:59 PM.</t>
        </is>
      </c>
    </row>
    <row r="18">
      <c r="B18" s="18" t="inlineStr">
        <is>
          <t>The winner is drawn once on the server and written to the database, so every TV shows the same name</t>
        </is>
      </c>
    </row>
    <row r="19">
      <c r="B19" s="18" t="inlineStr">
        <is>
          <t>and a reload cannot re-roll it.</t>
        </is>
      </c>
    </row>
    <row r="21">
      <c r="A21" s="17" t="inlineStr">
        <is>
          <t>Source</t>
        </is>
      </c>
    </row>
    <row r="22">
      <c r="B22" s="18" t="inlineStr">
        <is>
          <t>Onyx CRM: policies joined to no_platform_medicare_policies for premium.</t>
        </is>
      </c>
    </row>
    <row r="23">
      <c r="B23" s="18" t="inlineStr">
        <is>
          <t>Product is classified case-insensitively — Onyx holds several spellings of the same product type</t>
        </is>
      </c>
    </row>
    <row r="24">
      <c r="B24" s="18" t="inlineStr">
        <is>
          <t>(short_term_home_health_care / SHORT_TERM_HOME_HEALTH / Home Health; hospital_indemnity / HI / etc.).</t>
        </is>
      </c>
    </row>
    <row r="25">
      <c r="B25" s="18" t="inlineStr">
        <is>
          <t>Sunfire-sourced Hospital Indemnity rows are excluded: they duplicate a self-reported row for the same sale.</t>
        </is>
      </c>
    </row>
    <row r="27">
      <c r="A27" s="17" t="inlineStr">
        <is>
          <t>Known issue</t>
        </is>
      </c>
    </row>
    <row r="28">
      <c r="B28" s="18" t="inlineStr">
        <is>
          <t>The hourly board snapshot rounds exact .5 point values to even, while the webhook scorer rounds half-up.</t>
        </is>
      </c>
    </row>
    <row r="29">
      <c r="B29" s="18" t="inlineStr">
        <is>
          <t>This workbook uses half-up throughout. It currently affects George Corbin only (month total, not the week),</t>
        </is>
      </c>
    </row>
    <row r="30">
      <c r="B30" s="18" t="inlineStr">
        <is>
          <t>and does not change anyone’s ticket count.</t>
        </is>
      </c>
    </row>
    <row r="32">
      <c r="A32" s="2" t="inlineStr">
        <is>
          <t>Generated</t>
        </is>
      </c>
      <c r="B32" s="18" t="inlineStr">
        <is>
          <t>2026-09-11 19:04 UTC  (pulled live from Onyx)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2026-09-11T19:04:52Z</dcterms:created>
  <dcterms:modified xsi:type="dcterms:W3CDTF">2026-09-11T19:04:52Z</dcterms:modified>
</cp:coreProperties>
</file>